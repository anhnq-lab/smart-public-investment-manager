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ự toán chi phí" state="visible" r:id="rId4"/>
  </sheets>
  <calcPr calcId="171027"/>
</workbook>
</file>

<file path=xl/sharedStrings.xml><?xml version="1.0" encoding="utf-8"?>
<sst xmlns="http://schemas.openxmlformats.org/spreadsheetml/2006/main" count="138" uniqueCount="99">
  <si>
    <t>DỰ TOÁN CHI PHÍ PHẦN MỀM QUẢN LÝ DỰ ÁN ĐẦU TƯ CÔNG THÔNG MINH</t>
  </si>
  <si>
    <t>CIC.QLDA v4.0 — Tích hợp AI &amp; BIM 3D  |  Đơn vị: Triệu VNĐ</t>
  </si>
  <si>
    <t>Ngày lập: 05/03/2026  |  Thời gian: 4 tháng  |  Nhân sự: 1 PM + 1 Dev + AI Assistant</t>
  </si>
  <si>
    <t>A. CHI PHÍ NHÂN CÔNG (1 PM + 1 Dev, kết hợp AI Coding Assistant)</t>
  </si>
  <si>
    <t>STT</t>
  </si>
  <si>
    <t>Vị trí / Vai trò</t>
  </si>
  <si>
    <t>Số người</t>
  </si>
  <si>
    <t>Man-month</t>
  </si>
  <si>
    <t/>
  </si>
  <si>
    <t xml:space="preserve">Đơn giá
(triệu/MM)</t>
  </si>
  <si>
    <t xml:space="preserve">Thành tiền
(triệu)</t>
  </si>
  <si>
    <t>Ghi chú</t>
  </si>
  <si>
    <t>Project Manager (PM)</t>
  </si>
  <si>
    <t>Quản lý dự án, phân tích nghiệp vụ, thiết kế UI/UX, kiểm thử</t>
  </si>
  <si>
    <t>Developer (Full-stack + AI + BIM)</t>
  </si>
  <si>
    <t>React/TS Frontend, Supabase Backend, AI, BIM 3D</t>
  </si>
  <si>
    <t>AI Coding Assistant (Gemini, Claude)</t>
  </si>
  <si>
    <t>—</t>
  </si>
  <si>
    <t>Hỗ trợ viết code, review, test — năng suất ×3-5 (miễn phí nhân công)</t>
  </si>
  <si>
    <t>CỘNG CHI PHÍ NHÂN CÔNG (A)</t>
  </si>
  <si>
    <t>B. CHI PHÍ HẠ TẦNG &amp; CÔNG NGHỆ (NĂM ĐẦU)</t>
  </si>
  <si>
    <t>Hạng mục</t>
  </si>
  <si>
    <t>Đơn vị</t>
  </si>
  <si>
    <t>Số lượng</t>
  </si>
  <si>
    <t xml:space="preserve">Đơn giá
(triệu)</t>
  </si>
  <si>
    <t>Supabase Cloud (Free → Pro khi cần)</t>
  </si>
  <si>
    <t>tháng</t>
  </si>
  <si>
    <t>Free tier ban đầu; Pro $25/th ≈ 625k VNĐ</t>
  </si>
  <si>
    <t>Google Gemini API (AI)</t>
  </si>
  <si>
    <t>500k/tháng — Function Calling, 10 AI services</t>
  </si>
  <si>
    <t>Domain + SSL Certificate</t>
  </si>
  <si>
    <t>năm</t>
  </si>
  <si>
    <t>Domain .vn + SSL (Let's Encrypt miễn phí)</t>
  </si>
  <si>
    <t>CDN &amp; Hosting (Vercel/Cloudflare)</t>
  </si>
  <si>
    <t>Free tier — đủ cho production</t>
  </si>
  <si>
    <t>Backup &amp; Disaster Recovery</t>
  </si>
  <si>
    <t>Đã gộp trong Supabase plan</t>
  </si>
  <si>
    <t>CỘNG CHI PHÍ HẠ TẦNG NĂM ĐẦU (B)</t>
  </si>
  <si>
    <t>C. CHI PHÍ TRIỂN KHAI &amp; ĐÀO TẠO</t>
  </si>
  <si>
    <t>Cài đặt, cấu hình hệ thống</t>
  </si>
  <si>
    <t>gói</t>
  </si>
  <si>
    <t>Setup môi trường, import dữ liệu ban đầu</t>
  </si>
  <si>
    <t>Đào tạo người dùng (2 buổi)</t>
  </si>
  <si>
    <t>buổi</t>
  </si>
  <si>
    <t>Hướng dẫn sử dụng toàn bộ chức năng</t>
  </si>
  <si>
    <t>Tài liệu hướng dẫn sử dụng</t>
  </si>
  <si>
    <t>bộ</t>
  </si>
  <si>
    <t>User Guide + Video hướng dẫn</t>
  </si>
  <si>
    <t>Hỗ trợ vận hành (1 tháng)</t>
  </si>
  <si>
    <t>Remote support, fix bug nhanh, hotline</t>
  </si>
  <si>
    <t>CỘNG CHI PHÍ TRIỂN KHAI &amp; ĐÀO TẠO (C)</t>
  </si>
  <si>
    <t>BẢNG TỔNG HỢP CHI PHÍ XÂY DỰNG</t>
  </si>
  <si>
    <t>Mục</t>
  </si>
  <si>
    <t>Nội dung</t>
  </si>
  <si>
    <t>Tỷ trọng</t>
  </si>
  <si>
    <t>A</t>
  </si>
  <si>
    <t>Chi phí nhân công (1 PM + 1 Dev × 4 tháng)</t>
  </si>
  <si>
    <t>B</t>
  </si>
  <si>
    <t>Chi phí hạ tầng &amp; công nghệ (năm đầu)</t>
  </si>
  <si>
    <t>C</t>
  </si>
  <si>
    <t>Chi phí triển khai &amp; đào tạo</t>
  </si>
  <si>
    <t>TỔNG CHI PHÍ XÂY DỰNG (A + B + C)</t>
  </si>
  <si>
    <t>100%</t>
  </si>
  <si>
    <t>D. CHI PHÍ VẬN HÀNH HÀNG THÁNG (SAU TRIỂN KHAI)</t>
  </si>
  <si>
    <t>SL</t>
  </si>
  <si>
    <t xml:space="preserve">Thành tiền
(triệu/tháng)</t>
  </si>
  <si>
    <t>Supabase Cloud</t>
  </si>
  <si>
    <t>Database, Auth, Storage ($25/th ≈ 625k)</t>
  </si>
  <si>
    <t>Google Gemini API</t>
  </si>
  <si>
    <t>500k/tháng — Function Calling</t>
  </si>
  <si>
    <t>Hosting &amp; CDN</t>
  </si>
  <si>
    <t>Vercel/Cloudflare — Free tier</t>
  </si>
  <si>
    <t>Bảo trì, cập nhật phần mềm</t>
  </si>
  <si>
    <t>Fix bug, cập nhật tính năng, hỗ trợ KT</t>
  </si>
  <si>
    <t>CHI PHÍ VẬN HÀNH HÀNG THÁNG (D)</t>
  </si>
  <si>
    <t>TIẾN ĐỘ THANH TOÁN</t>
  </si>
  <si>
    <t>Đợt</t>
  </si>
  <si>
    <t>Mốc thanh toán</t>
  </si>
  <si>
    <t>Tỷ lệ</t>
  </si>
  <si>
    <t>Số tiền (triệu)</t>
  </si>
  <si>
    <t>Thời điểm</t>
  </si>
  <si>
    <t>Ký hợp đồng, bắt đầu triển khai</t>
  </si>
  <si>
    <t>Tháng 1</t>
  </si>
  <si>
    <t>Nghiệm thu GĐ 1 (vận hành song song)</t>
  </si>
  <si>
    <t>Tháng 2-3</t>
  </si>
  <si>
    <t>Nghiệm thu hoàn thành, bàn giao</t>
  </si>
  <si>
    <t>Tháng 4</t>
  </si>
  <si>
    <t>GHI CHÚ</t>
  </si>
  <si>
    <t>1. Đơn giá man-month đã bao gồm lương, bảo hiểm, thuế TNCN, chi phí quản lý.</t>
  </si>
  <si>
    <t>2. Sử dụng AI Coding Assistant (Gemini, Claude) — tăng năng suất ×3-5 lần, 2 người đủ làm toàn bộ.</t>
  </si>
  <si>
    <t>3. Supabase Free tier đủ dùng giai đoạn đầu; nâng Pro ($25/tháng) khi cần scale.</t>
  </si>
  <si>
    <t>4. Gemini API: 500.000 VNĐ/tháng — đủ cho ~500 queries/ngày.</t>
  </si>
  <si>
    <t>5. Hosting miễn phí (Vercel / Cloudflare Pages Free tier).</t>
  </si>
  <si>
    <t>6. Chưa bao gồm thuế VAT (nếu áp dụng). Giá trị có thể điều chỉnh ±10%.</t>
  </si>
  <si>
    <t>7. Bảo hành phần mềm: 12 tháng (miễn phí fix bug).</t>
  </si>
  <si>
    <t>8. Các ô màu xanh (Thành tiền) đều có CÔNG THỨC — chỉ cần sửa Đơn giá hoặc Số lượng.</t>
  </si>
  <si>
    <t>BÊN A — CHỦ ĐẦU TƯ</t>
  </si>
  <si>
    <t>BÊN B — ĐƠN VỊ THỰC HIỆN</t>
  </si>
  <si>
    <t>(Ký, ghi rõ họ tên)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</si>
</sst>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"/>
    <numFmt numFmtId="165" formatCode="#,##0.0"/>
  </numFmts>
  <fonts count="12" x14ac:knownFonts="1">
    <font>
      <color theme="1"/>
      <family val="2"/>
      <scheme val="minor"/>
      <sz val="11"/>
      <name val="Calibri"/>
    </font>
    <font>
      <b/>
      <color rgb="FF1B3A5C"/>
      <sz val="14"/>
      <name val="Arial"/>
    </font>
    <font>
      <i/>
      <color rgb="FF2D8B8B"/>
      <sz val="10"/>
      <name val="Arial"/>
    </font>
    <font>
      <i/>
      <color rgb="FF666666"/>
      <sz val="9"/>
      <name val="Arial"/>
    </font>
    <font>
      <b/>
      <color rgb="FF1B3A5C"/>
      <sz val="11"/>
      <name val="Arial"/>
    </font>
    <font>
      <b/>
      <color rgb="FFFFFFFF"/>
      <sz val="10"/>
      <name val="Arial"/>
    </font>
    <font>
      <sz val="10"/>
      <name val="Arial"/>
    </font>
    <font>
      <b/>
      <sz val="10"/>
      <name val="Arial"/>
    </font>
    <font>
      <b/>
      <color rgb="FF1B3A5C"/>
      <sz val="10"/>
      <name val="Arial"/>
    </font>
    <font>
      <b/>
      <color rgb="FFFFFFFF"/>
      <sz val="11"/>
      <name val="Arial"/>
    </font>
    <font>
      <color rgb="FF555555"/>
      <sz val="9"/>
      <name val="Arial"/>
    </font>
    <font>
      <i/>
      <color rgb="FF999999"/>
      <sz val="9"/>
      <name val="Arial"/>
    </font>
  </fonts>
  <fills count="6">
    <fill>
      <patternFill patternType="none"/>
    </fill>
    <fill>
      <patternFill patternType="gray125"/>
    </fill>
    <fill>
      <patternFill patternType="solid">
        <fgColor rgb="FFEAF4F4"/>
      </patternFill>
    </fill>
    <fill>
      <patternFill patternType="solid">
        <fgColor rgb="FF1B3A5C"/>
      </patternFill>
    </fill>
    <fill>
      <patternFill patternType="solid">
        <fgColor rgb="FFF5F8FA"/>
      </patternFill>
    </fill>
    <fill>
      <patternFill patternType="solid">
        <fgColor rgb="FFD6E8F0"/>
      </patternFill>
    </fill>
  </fills>
  <borders count="2">
    <border>
      <left/>
      <right/>
      <top/>
      <bottom/>
      <diagonal/>
    </border>
    <border>
      <left style="thin">
        <color rgb="FFD0D8E0"/>
      </left>
      <right style="thin">
        <color rgb="FFD0D8E0"/>
      </right>
      <top style="thin">
        <color rgb="FFD0D8E0"/>
      </top>
      <bottom style="thin">
        <color rgb="FFD0D8E0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2" borderId="1" xfId="0" applyFont="1" applyFill="1" applyBorder="1"/>
    <xf numFmtId="0" fontId="5" fillId="3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vertical="center" wrapText="1"/>
    </xf>
    <xf numFmtId="3" fontId="6" fillId="0" borderId="1" xfId="0" applyNumberFormat="1" applyFont="1" applyBorder="1" applyAlignment="1">
      <alignment horizontal="right" vertical="center"/>
    </xf>
    <xf numFmtId="3" fontId="7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vertical="center" wrapText="1"/>
    </xf>
    <xf numFmtId="0" fontId="6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vertical="center" wrapText="1"/>
    </xf>
    <xf numFmtId="3" fontId="6" fillId="4" borderId="1" xfId="0" applyNumberFormat="1" applyFont="1" applyFill="1" applyBorder="1" applyAlignment="1">
      <alignment horizontal="right" vertical="center"/>
    </xf>
    <xf numFmtId="3" fontId="7" fillId="4" borderId="1" xfId="0" applyNumberFormat="1" applyFont="1" applyFill="1" applyBorder="1" applyAlignment="1">
      <alignment horizontal="right" vertical="center"/>
    </xf>
    <xf numFmtId="0" fontId="3" fillId="4" borderId="1" xfId="0" applyFont="1" applyFill="1" applyBorder="1" applyAlignment="1">
      <alignment vertical="center" wrapText="1"/>
    </xf>
    <xf numFmtId="0" fontId="8" fillId="5" borderId="1" xfId="0" applyFont="1" applyFill="1" applyBorder="1" applyAlignment="1">
      <alignment vertical="center" wrapText="1"/>
    </xf>
    <xf numFmtId="3" fontId="8" fillId="5" borderId="1" xfId="0" applyNumberFormat="1" applyFont="1" applyFill="1" applyBorder="1" applyAlignment="1">
      <alignment vertical="center" wrapText="1"/>
    </xf>
    <xf numFmtId="164" fontId="6" fillId="0" borderId="1" xfId="0" applyNumberFormat="1" applyFont="1" applyBorder="1" applyAlignment="1">
      <alignment horizontal="right" vertical="center"/>
    </xf>
    <xf numFmtId="164" fontId="7" fillId="0" borderId="1" xfId="0" applyNumberFormat="1" applyFont="1" applyBorder="1" applyAlignment="1">
      <alignment horizontal="right" vertical="center"/>
    </xf>
    <xf numFmtId="164" fontId="6" fillId="4" borderId="1" xfId="0" applyNumberFormat="1" applyFont="1" applyFill="1" applyBorder="1" applyAlignment="1">
      <alignment horizontal="right" vertical="center"/>
    </xf>
    <xf numFmtId="164" fontId="7" fillId="4" borderId="1" xfId="0" applyNumberFormat="1" applyFont="1" applyFill="1" applyBorder="1" applyAlignment="1">
      <alignment horizontal="right" vertical="center"/>
    </xf>
    <xf numFmtId="165" fontId="8" fillId="5" borderId="1" xfId="0" applyNumberFormat="1" applyFont="1" applyFill="1" applyBorder="1" applyAlignment="1">
      <alignment vertical="center" wrapText="1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vertical="center" wrapText="1"/>
    </xf>
    <xf numFmtId="0" fontId="7" fillId="4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vertical="center" wrapText="1"/>
    </xf>
    <xf numFmtId="165" fontId="7" fillId="4" borderId="1" xfId="0" applyNumberFormat="1" applyFont="1" applyFill="1" applyBorder="1" applyAlignment="1">
      <alignment horizontal="right" vertical="center"/>
    </xf>
    <xf numFmtId="0" fontId="9" fillId="3" borderId="1" xfId="0" applyFont="1" applyFill="1" applyBorder="1" applyAlignment="1">
      <alignment vertical="center" wrapText="1"/>
    </xf>
    <xf numFmtId="165" fontId="9" fillId="3" borderId="1" xfId="0" applyNumberFormat="1" applyFont="1" applyFill="1" applyBorder="1" applyAlignment="1">
      <alignment vertical="center" wrapText="1"/>
    </xf>
    <xf numFmtId="164" fontId="9" fillId="3" borderId="1" xfId="0" applyNumberFormat="1" applyFont="1" applyFill="1" applyBorder="1" applyAlignment="1">
      <alignment vertical="center" wrapText="1"/>
    </xf>
    <xf numFmtId="9" fontId="7" fillId="0" borderId="1" xfId="0" applyNumberFormat="1" applyFont="1" applyBorder="1" applyAlignment="1">
      <alignment horizontal="center" vertical="center"/>
    </xf>
    <xf numFmtId="165" fontId="7" fillId="0" borderId="1" xfId="0" applyNumberFormat="1" applyFont="1" applyBorder="1" applyAlignment="1">
      <alignment horizontal="right" vertical="center"/>
    </xf>
    <xf numFmtId="9" fontId="7" fillId="4" borderId="1" xfId="0" applyNumberFormat="1" applyFont="1" applyFill="1" applyBorder="1" applyAlignment="1">
      <alignment horizontal="center" vertical="center"/>
    </xf>
    <xf numFmtId="0" fontId="4" fillId="0" borderId="0" xfId="0" applyFont="1"/>
    <xf numFmtId="0" fontId="10" fillId="0" borderId="0" xfId="0" applyFont="1" applyAlignment="1">
      <alignment wrapText="1"/>
    </xf>
    <xf numFmtId="0" fontId="8" fillId="0" borderId="0" xfId="0" applyFont="1" applyAlignment="1">
      <alignment horizontal="center"/>
    </xf>
    <xf numFmtId="0" fontId="1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63"/>
  <sheetFormatPr defaultRowHeight="15" outlineLevelRow="0" outlineLevelCol="0" x14ac:dyDescent="55"/>
  <cols>
    <col min="1" max="1" width="6" customWidth="1"/>
    <col min="2" max="2" width="42" customWidth="1"/>
    <col min="3" max="4" width="10" customWidth="1"/>
    <col min="5" max="5" width="12" customWidth="1"/>
    <col min="6" max="6" width="14" customWidth="1"/>
    <col min="7" max="7" width="16" customWidth="1"/>
    <col min="8" max="8" width="35" customWidth="1"/>
  </cols>
  <sheetData>
    <row r="1" ht="30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3" t="s">
        <v>2</v>
      </c>
      <c r="B3" s="3"/>
      <c r="C3" s="3"/>
      <c r="D3" s="3"/>
      <c r="E3" s="3"/>
      <c r="F3" s="3"/>
      <c r="G3" s="3"/>
      <c r="H3" s="3"/>
    </row>
    <row r="5" ht="24" customHeight="1" spans="1:8" x14ac:dyDescent="0.25">
      <c r="A5" s="4" t="s">
        <v>3</v>
      </c>
      <c r="B5" s="4"/>
      <c r="C5" s="4"/>
      <c r="D5" s="4"/>
      <c r="E5" s="4"/>
      <c r="F5" s="4"/>
      <c r="G5" s="4"/>
      <c r="H5" s="4"/>
    </row>
    <row r="6" ht="32" customHeight="1" spans="1:8" x14ac:dyDescent="0.25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  <c r="F6" s="5" t="s">
        <v>9</v>
      </c>
      <c r="G6" s="5" t="s">
        <v>10</v>
      </c>
      <c r="H6" s="5" t="s">
        <v>11</v>
      </c>
    </row>
    <row r="7" spans="1:8" x14ac:dyDescent="0.25">
      <c r="A7" s="6">
        <v>1</v>
      </c>
      <c r="B7" s="7" t="s">
        <v>12</v>
      </c>
      <c r="C7" s="6">
        <v>1</v>
      </c>
      <c r="D7" s="6">
        <v>4</v>
      </c>
      <c r="E7" s="7"/>
      <c r="F7" s="8">
        <v>35</v>
      </c>
      <c r="G7" s="9">
        <f>E7*F7</f>
        <v>140</v>
      </c>
      <c r="H7" s="10" t="s">
        <v>13</v>
      </c>
    </row>
    <row r="8" spans="1:8" x14ac:dyDescent="0.25">
      <c r="A8" s="11">
        <v>2</v>
      </c>
      <c r="B8" s="12" t="s">
        <v>14</v>
      </c>
      <c r="C8" s="11">
        <v>1</v>
      </c>
      <c r="D8" s="11">
        <v>4</v>
      </c>
      <c r="E8" s="12"/>
      <c r="F8" s="13">
        <v>32</v>
      </c>
      <c r="G8" s="14">
        <f>E8*F8</f>
        <v>128</v>
      </c>
      <c r="H8" s="15" t="s">
        <v>15</v>
      </c>
    </row>
    <row r="9" spans="1:8" x14ac:dyDescent="0.25">
      <c r="A9" s="6">
        <v>3</v>
      </c>
      <c r="B9" s="7" t="s">
        <v>16</v>
      </c>
      <c r="C9" s="6" t="s">
        <v>17</v>
      </c>
      <c r="D9" s="6" t="s">
        <v>17</v>
      </c>
      <c r="E9" s="7"/>
      <c r="F9" s="8" t="s">
        <v>17</v>
      </c>
      <c r="G9" s="8" t="s">
        <v>17</v>
      </c>
      <c r="H9" s="10" t="s">
        <v>18</v>
      </c>
    </row>
    <row r="10" spans="1:8" x14ac:dyDescent="0.25">
      <c r="A10" s="16" t="s">
        <v>8</v>
      </c>
      <c r="B10" s="16" t="s">
        <v>19</v>
      </c>
      <c r="C10" s="16">
        <f>SUM(C7:C8)</f>
        <v>2</v>
      </c>
      <c r="D10" s="16">
        <f>SUM(E7:E8)</f>
        <v>8</v>
      </c>
      <c r="E10" s="16"/>
      <c r="F10" s="16" t="s">
        <v>8</v>
      </c>
      <c r="G10" s="17">
        <f>SUM(G7:G9)</f>
        <v>268</v>
      </c>
      <c r="H10" s="16" t="s">
        <v>8</v>
      </c>
    </row>
    <row r="12" ht="24" customHeight="1" spans="1:8" x14ac:dyDescent="0.25">
      <c r="A12" s="4" t="s">
        <v>20</v>
      </c>
      <c r="B12" s="4"/>
      <c r="C12" s="4"/>
      <c r="D12" s="4"/>
      <c r="E12" s="4"/>
      <c r="F12" s="4"/>
      <c r="G12" s="4"/>
      <c r="H12" s="4"/>
    </row>
    <row r="13" ht="32" customHeight="1" spans="1:8" x14ac:dyDescent="0.25">
      <c r="A13" s="5" t="s">
        <v>4</v>
      </c>
      <c r="B13" s="5" t="s">
        <v>21</v>
      </c>
      <c r="C13" s="5" t="s">
        <v>22</v>
      </c>
      <c r="D13" s="5" t="s">
        <v>23</v>
      </c>
      <c r="E13" s="5" t="s">
        <v>8</v>
      </c>
      <c r="F13" s="5" t="s">
        <v>24</v>
      </c>
      <c r="G13" s="5" t="s">
        <v>10</v>
      </c>
      <c r="H13" s="5" t="s">
        <v>11</v>
      </c>
    </row>
    <row r="14" spans="1:8" x14ac:dyDescent="0.25">
      <c r="A14" s="6">
        <v>1</v>
      </c>
      <c r="B14" s="7" t="s">
        <v>25</v>
      </c>
      <c r="C14" s="6" t="s">
        <v>26</v>
      </c>
      <c r="D14" s="6">
        <v>12</v>
      </c>
      <c r="E14" s="7"/>
      <c r="F14" s="18">
        <v>0.625</v>
      </c>
      <c r="G14" s="19">
        <f>D14*F14</f>
        <v>7.5</v>
      </c>
      <c r="H14" s="10" t="s">
        <v>27</v>
      </c>
    </row>
    <row r="15" spans="1:8" x14ac:dyDescent="0.25">
      <c r="A15" s="11">
        <v>2</v>
      </c>
      <c r="B15" s="12" t="s">
        <v>28</v>
      </c>
      <c r="C15" s="11" t="s">
        <v>26</v>
      </c>
      <c r="D15" s="11">
        <v>12</v>
      </c>
      <c r="E15" s="12"/>
      <c r="F15" s="20">
        <v>0.5</v>
      </c>
      <c r="G15" s="21">
        <f>D15*F15</f>
        <v>6</v>
      </c>
      <c r="H15" s="15" t="s">
        <v>29</v>
      </c>
    </row>
    <row r="16" spans="1:8" x14ac:dyDescent="0.25">
      <c r="A16" s="6">
        <v>3</v>
      </c>
      <c r="B16" s="7" t="s">
        <v>30</v>
      </c>
      <c r="C16" s="6" t="s">
        <v>31</v>
      </c>
      <c r="D16" s="6">
        <v>1</v>
      </c>
      <c r="E16" s="7"/>
      <c r="F16" s="18">
        <v>1</v>
      </c>
      <c r="G16" s="19">
        <f>D16*F16</f>
        <v>1</v>
      </c>
      <c r="H16" s="10" t="s">
        <v>32</v>
      </c>
    </row>
    <row r="17" spans="1:8" x14ac:dyDescent="0.25">
      <c r="A17" s="11">
        <v>4</v>
      </c>
      <c r="B17" s="12" t="s">
        <v>33</v>
      </c>
      <c r="C17" s="11" t="s">
        <v>26</v>
      </c>
      <c r="D17" s="11">
        <v>12</v>
      </c>
      <c r="E17" s="12"/>
      <c r="F17" s="20">
        <v>0</v>
      </c>
      <c r="G17" s="21">
        <f>D17*F17</f>
        <v>0</v>
      </c>
      <c r="H17" s="15" t="s">
        <v>34</v>
      </c>
    </row>
    <row r="18" spans="1:8" x14ac:dyDescent="0.25">
      <c r="A18" s="6">
        <v>5</v>
      </c>
      <c r="B18" s="7" t="s">
        <v>35</v>
      </c>
      <c r="C18" s="6" t="s">
        <v>26</v>
      </c>
      <c r="D18" s="6">
        <v>12</v>
      </c>
      <c r="E18" s="7"/>
      <c r="F18" s="18">
        <v>0</v>
      </c>
      <c r="G18" s="19">
        <f>D18*F18</f>
        <v>0</v>
      </c>
      <c r="H18" s="10" t="s">
        <v>36</v>
      </c>
    </row>
    <row r="19" spans="1:8" x14ac:dyDescent="0.25">
      <c r="A19" s="16" t="s">
        <v>8</v>
      </c>
      <c r="B19" s="16" t="s">
        <v>37</v>
      </c>
      <c r="C19" s="16"/>
      <c r="D19" s="16"/>
      <c r="E19" s="16"/>
      <c r="F19" s="16"/>
      <c r="G19" s="22">
        <f>SUM(G14:G18)</f>
        <v>14.5</v>
      </c>
      <c r="H19" s="16"/>
    </row>
    <row r="21" ht="24" customHeight="1" spans="1:8" x14ac:dyDescent="0.25">
      <c r="A21" s="4" t="s">
        <v>38</v>
      </c>
      <c r="B21" s="4"/>
      <c r="C21" s="4"/>
      <c r="D21" s="4"/>
      <c r="E21" s="4"/>
      <c r="F21" s="4"/>
      <c r="G21" s="4"/>
      <c r="H21" s="4"/>
    </row>
    <row r="22" ht="32" customHeight="1" spans="1:8" x14ac:dyDescent="0.25">
      <c r="A22" s="5" t="s">
        <v>4</v>
      </c>
      <c r="B22" s="5" t="s">
        <v>21</v>
      </c>
      <c r="C22" s="5" t="s">
        <v>22</v>
      </c>
      <c r="D22" s="5" t="s">
        <v>23</v>
      </c>
      <c r="E22" s="5" t="s">
        <v>8</v>
      </c>
      <c r="F22" s="5" t="s">
        <v>24</v>
      </c>
      <c r="G22" s="5" t="s">
        <v>10</v>
      </c>
      <c r="H22" s="5" t="s">
        <v>11</v>
      </c>
    </row>
    <row r="23" spans="1:8" x14ac:dyDescent="0.25">
      <c r="A23" s="6">
        <v>1</v>
      </c>
      <c r="B23" s="7" t="s">
        <v>39</v>
      </c>
      <c r="C23" s="6" t="s">
        <v>40</v>
      </c>
      <c r="D23" s="6">
        <v>1</v>
      </c>
      <c r="E23" s="7"/>
      <c r="F23" s="8">
        <v>5</v>
      </c>
      <c r="G23" s="9">
        <f>D23*F23</f>
        <v>5</v>
      </c>
      <c r="H23" s="10" t="s">
        <v>41</v>
      </c>
    </row>
    <row r="24" spans="1:8" x14ac:dyDescent="0.25">
      <c r="A24" s="11">
        <v>2</v>
      </c>
      <c r="B24" s="12" t="s">
        <v>42</v>
      </c>
      <c r="C24" s="11" t="s">
        <v>43</v>
      </c>
      <c r="D24" s="11">
        <v>2</v>
      </c>
      <c r="E24" s="12"/>
      <c r="F24" s="13">
        <v>2</v>
      </c>
      <c r="G24" s="14">
        <f>D24*F24</f>
        <v>4</v>
      </c>
      <c r="H24" s="15" t="s">
        <v>44</v>
      </c>
    </row>
    <row r="25" spans="1:8" x14ac:dyDescent="0.25">
      <c r="A25" s="6">
        <v>3</v>
      </c>
      <c r="B25" s="7" t="s">
        <v>45</v>
      </c>
      <c r="C25" s="6" t="s">
        <v>46</v>
      </c>
      <c r="D25" s="6">
        <v>1</v>
      </c>
      <c r="E25" s="7"/>
      <c r="F25" s="8">
        <v>3</v>
      </c>
      <c r="G25" s="9">
        <f>D25*F25</f>
        <v>3</v>
      </c>
      <c r="H25" s="10" t="s">
        <v>47</v>
      </c>
    </row>
    <row r="26" spans="1:8" x14ac:dyDescent="0.25">
      <c r="A26" s="11">
        <v>4</v>
      </c>
      <c r="B26" s="12" t="s">
        <v>48</v>
      </c>
      <c r="C26" s="11" t="s">
        <v>26</v>
      </c>
      <c r="D26" s="11">
        <v>1</v>
      </c>
      <c r="E26" s="12"/>
      <c r="F26" s="13">
        <v>5</v>
      </c>
      <c r="G26" s="14">
        <f>D26*F26</f>
        <v>5</v>
      </c>
      <c r="H26" s="15" t="s">
        <v>49</v>
      </c>
    </row>
    <row r="27" spans="1:8" x14ac:dyDescent="0.25">
      <c r="A27" s="16" t="s">
        <v>8</v>
      </c>
      <c r="B27" s="16" t="s">
        <v>50</v>
      </c>
      <c r="C27" s="16"/>
      <c r="D27" s="16"/>
      <c r="E27" s="16"/>
      <c r="F27" s="16"/>
      <c r="G27" s="17">
        <f>SUM(G23:G26)</f>
        <v>17</v>
      </c>
      <c r="H27" s="16"/>
    </row>
    <row r="29" ht="24" customHeight="1" spans="1:8" x14ac:dyDescent="0.25">
      <c r="A29" s="4" t="s">
        <v>51</v>
      </c>
      <c r="B29" s="4"/>
      <c r="C29" s="4"/>
      <c r="D29" s="4"/>
      <c r="E29" s="4"/>
      <c r="F29" s="4"/>
      <c r="G29" s="4"/>
      <c r="H29" s="4"/>
    </row>
    <row r="30" ht="32" customHeight="1" spans="1:8" x14ac:dyDescent="0.25">
      <c r="A30" s="5" t="s">
        <v>52</v>
      </c>
      <c r="B30" s="5" t="s">
        <v>53</v>
      </c>
      <c r="C30" s="5"/>
      <c r="D30" s="5"/>
      <c r="E30" s="5"/>
      <c r="F30" s="5"/>
      <c r="G30" s="5" t="s">
        <v>10</v>
      </c>
      <c r="H30" s="5" t="s">
        <v>54</v>
      </c>
    </row>
    <row r="31" spans="1:8" x14ac:dyDescent="0.25">
      <c r="A31" s="23" t="s">
        <v>55</v>
      </c>
      <c r="B31" s="24" t="s">
        <v>56</v>
      </c>
      <c r="C31" s="24"/>
      <c r="D31" s="24"/>
      <c r="E31" s="24"/>
      <c r="F31" s="24"/>
      <c r="G31" s="9">
        <f>G10</f>
        <v>268</v>
      </c>
      <c r="H31" s="6" t="str">
        <f>TEXT(G31/G34,"0.0%")</f>
        <v>89.5%</v>
      </c>
    </row>
    <row r="32" spans="1:8" x14ac:dyDescent="0.25">
      <c r="A32" s="25" t="s">
        <v>57</v>
      </c>
      <c r="B32" s="26" t="s">
        <v>58</v>
      </c>
      <c r="C32" s="26"/>
      <c r="D32" s="26"/>
      <c r="E32" s="26"/>
      <c r="F32" s="26"/>
      <c r="G32" s="27">
        <f>G19</f>
        <v>14.5</v>
      </c>
      <c r="H32" s="11" t="str">
        <f>TEXT(G32/G34,"0.0%")</f>
        <v>4.8%</v>
      </c>
    </row>
    <row r="33" spans="1:8" x14ac:dyDescent="0.25">
      <c r="A33" s="23" t="s">
        <v>59</v>
      </c>
      <c r="B33" s="24" t="s">
        <v>60</v>
      </c>
      <c r="C33" s="24"/>
      <c r="D33" s="24"/>
      <c r="E33" s="24"/>
      <c r="F33" s="24"/>
      <c r="G33" s="9">
        <f>G27</f>
        <v>17</v>
      </c>
      <c r="H33" s="6" t="str">
        <f>TEXT(G33/G34,"0.0%")</f>
        <v>5.7%</v>
      </c>
    </row>
    <row r="34" ht="28" customHeight="1" spans="1:8" x14ac:dyDescent="0.25">
      <c r="A34" s="28" t="s">
        <v>8</v>
      </c>
      <c r="B34" s="28" t="s">
        <v>61</v>
      </c>
      <c r="C34" s="28"/>
      <c r="D34" s="28"/>
      <c r="E34" s="28"/>
      <c r="F34" s="28"/>
      <c r="G34" s="29">
        <f>G31+G32+G33</f>
        <v>299.5</v>
      </c>
      <c r="H34" s="28" t="s">
        <v>62</v>
      </c>
    </row>
    <row r="36" ht="24" customHeight="1" spans="1:8" x14ac:dyDescent="0.25">
      <c r="A36" s="4" t="s">
        <v>63</v>
      </c>
      <c r="B36" s="4"/>
      <c r="C36" s="4"/>
      <c r="D36" s="4"/>
      <c r="E36" s="4"/>
      <c r="F36" s="4"/>
      <c r="G36" s="4"/>
      <c r="H36" s="4"/>
    </row>
    <row r="37" ht="32" customHeight="1" spans="1:8" x14ac:dyDescent="0.25">
      <c r="A37" s="5" t="s">
        <v>4</v>
      </c>
      <c r="B37" s="5" t="s">
        <v>21</v>
      </c>
      <c r="C37" s="5" t="s">
        <v>22</v>
      </c>
      <c r="D37" s="5" t="s">
        <v>64</v>
      </c>
      <c r="E37" s="5" t="s">
        <v>8</v>
      </c>
      <c r="F37" s="5" t="s">
        <v>24</v>
      </c>
      <c r="G37" s="5" t="s">
        <v>65</v>
      </c>
      <c r="H37" s="5" t="s">
        <v>11</v>
      </c>
    </row>
    <row r="38" spans="1:8" x14ac:dyDescent="0.25">
      <c r="A38" s="6">
        <v>1</v>
      </c>
      <c r="B38" s="7" t="s">
        <v>66</v>
      </c>
      <c r="C38" s="6" t="s">
        <v>26</v>
      </c>
      <c r="D38" s="6">
        <v>1</v>
      </c>
      <c r="E38" s="7"/>
      <c r="F38" s="18">
        <v>0.625</v>
      </c>
      <c r="G38" s="19">
        <f>D38*F38</f>
        <v>0.625</v>
      </c>
      <c r="H38" s="10" t="s">
        <v>67</v>
      </c>
    </row>
    <row r="39" spans="1:8" x14ac:dyDescent="0.25">
      <c r="A39" s="11">
        <v>2</v>
      </c>
      <c r="B39" s="12" t="s">
        <v>68</v>
      </c>
      <c r="C39" s="11" t="s">
        <v>26</v>
      </c>
      <c r="D39" s="11">
        <v>1</v>
      </c>
      <c r="E39" s="12"/>
      <c r="F39" s="20">
        <v>0.5</v>
      </c>
      <c r="G39" s="21">
        <f>D39*F39</f>
        <v>0.5</v>
      </c>
      <c r="H39" s="15" t="s">
        <v>69</v>
      </c>
    </row>
    <row r="40" spans="1:8" x14ac:dyDescent="0.25">
      <c r="A40" s="6">
        <v>3</v>
      </c>
      <c r="B40" s="7" t="s">
        <v>70</v>
      </c>
      <c r="C40" s="6" t="s">
        <v>26</v>
      </c>
      <c r="D40" s="6">
        <v>1</v>
      </c>
      <c r="E40" s="7"/>
      <c r="F40" s="18">
        <v>0</v>
      </c>
      <c r="G40" s="19">
        <f>D40*F40</f>
        <v>0</v>
      </c>
      <c r="H40" s="10" t="s">
        <v>71</v>
      </c>
    </row>
    <row r="41" spans="1:8" x14ac:dyDescent="0.25">
      <c r="A41" s="11">
        <v>4</v>
      </c>
      <c r="B41" s="12" t="s">
        <v>72</v>
      </c>
      <c r="C41" s="11" t="s">
        <v>26</v>
      </c>
      <c r="D41" s="11">
        <v>1</v>
      </c>
      <c r="E41" s="12"/>
      <c r="F41" s="20">
        <v>2</v>
      </c>
      <c r="G41" s="21">
        <f>D41*F41</f>
        <v>2</v>
      </c>
      <c r="H41" s="15" t="s">
        <v>73</v>
      </c>
    </row>
    <row r="42" ht="28" customHeight="1" spans="1:8" x14ac:dyDescent="0.25">
      <c r="A42" s="28" t="s">
        <v>8</v>
      </c>
      <c r="B42" s="28" t="s">
        <v>74</v>
      </c>
      <c r="C42" s="28"/>
      <c r="D42" s="28"/>
      <c r="E42" s="28"/>
      <c r="F42" s="28"/>
      <c r="G42" s="30">
        <f>SUM(G38:G41)</f>
        <v>3.125</v>
      </c>
      <c r="H42" s="28" t="str">
        <f>"~"&amp;TEXT(G42*12,"#,##0.0")&amp;" triệu/năm"</f>
        <v>~37,5 triệu/năm</v>
      </c>
    </row>
    <row r="44" ht="24" customHeight="1" spans="1:8" x14ac:dyDescent="0.25">
      <c r="A44" s="4" t="s">
        <v>75</v>
      </c>
      <c r="B44" s="4"/>
      <c r="C44" s="4"/>
      <c r="D44" s="4"/>
      <c r="E44" s="4"/>
      <c r="F44" s="4"/>
      <c r="G44" s="4"/>
      <c r="H44" s="4"/>
    </row>
    <row r="45" ht="32" customHeight="1" spans="1:8" x14ac:dyDescent="0.25">
      <c r="A45" s="5" t="s">
        <v>76</v>
      </c>
      <c r="B45" s="5" t="s">
        <v>77</v>
      </c>
      <c r="C45" s="5"/>
      <c r="D45" s="5"/>
      <c r="E45" s="5" t="s">
        <v>78</v>
      </c>
      <c r="F45" s="5" t="s">
        <v>8</v>
      </c>
      <c r="G45" s="5" t="s">
        <v>79</v>
      </c>
      <c r="H45" s="5" t="s">
        <v>80</v>
      </c>
    </row>
    <row r="46" spans="1:8" x14ac:dyDescent="0.25">
      <c r="A46" s="23">
        <v>1</v>
      </c>
      <c r="B46" s="7" t="s">
        <v>81</v>
      </c>
      <c r="C46" s="7"/>
      <c r="D46" s="7"/>
      <c r="E46" s="31">
        <v>0.3</v>
      </c>
      <c r="F46" s="7"/>
      <c r="G46" s="32">
        <f>ROUND(E46*G34,1)</f>
        <v>89.9</v>
      </c>
      <c r="H46" s="6" t="s">
        <v>82</v>
      </c>
    </row>
    <row r="47" spans="1:8" x14ac:dyDescent="0.25">
      <c r="A47" s="25">
        <v>2</v>
      </c>
      <c r="B47" s="12" t="s">
        <v>83</v>
      </c>
      <c r="C47" s="12"/>
      <c r="D47" s="12"/>
      <c r="E47" s="33">
        <v>0.4</v>
      </c>
      <c r="F47" s="12"/>
      <c r="G47" s="27">
        <f>ROUND(E47*G34,1)</f>
        <v>119.8</v>
      </c>
      <c r="H47" s="11" t="s">
        <v>84</v>
      </c>
    </row>
    <row r="48" spans="1:8" x14ac:dyDescent="0.25">
      <c r="A48" s="23">
        <v>3</v>
      </c>
      <c r="B48" s="7" t="s">
        <v>85</v>
      </c>
      <c r="C48" s="7"/>
      <c r="D48" s="7"/>
      <c r="E48" s="31">
        <v>0.3</v>
      </c>
      <c r="F48" s="7"/>
      <c r="G48" s="32">
        <f>ROUND(E48*G34,1)</f>
        <v>89.9</v>
      </c>
      <c r="H48" s="6" t="s">
        <v>86</v>
      </c>
    </row>
    <row r="51" spans="1:8" x14ac:dyDescent="0.25">
      <c r="A51" s="34" t="s">
        <v>87</v>
      </c>
      <c r="B51" s="34"/>
      <c r="C51" s="34"/>
      <c r="D51" s="34"/>
      <c r="E51" s="34"/>
      <c r="F51" s="34"/>
      <c r="G51" s="34"/>
      <c r="H51" s="34"/>
    </row>
    <row r="52" spans="1:8" x14ac:dyDescent="0.25">
      <c r="A52" s="35" t="s">
        <v>88</v>
      </c>
      <c r="B52" s="35"/>
      <c r="C52" s="35"/>
      <c r="D52" s="35"/>
      <c r="E52" s="35"/>
      <c r="F52" s="35"/>
      <c r="G52" s="35"/>
      <c r="H52" s="35"/>
    </row>
    <row r="53" spans="1:8" x14ac:dyDescent="0.25">
      <c r="A53" s="35" t="s">
        <v>89</v>
      </c>
      <c r="B53" s="35"/>
      <c r="C53" s="35"/>
      <c r="D53" s="35"/>
      <c r="E53" s="35"/>
      <c r="F53" s="35"/>
      <c r="G53" s="35"/>
      <c r="H53" s="35"/>
    </row>
    <row r="54" spans="1:8" x14ac:dyDescent="0.25">
      <c r="A54" s="35" t="s">
        <v>90</v>
      </c>
      <c r="B54" s="35"/>
      <c r="C54" s="35"/>
      <c r="D54" s="35"/>
      <c r="E54" s="35"/>
      <c r="F54" s="35"/>
      <c r="G54" s="35"/>
      <c r="H54" s="35"/>
    </row>
    <row r="55" spans="1:8" x14ac:dyDescent="0.25">
      <c r="A55" s="35" t="s">
        <v>91</v>
      </c>
      <c r="B55" s="35"/>
      <c r="C55" s="35"/>
      <c r="D55" s="35"/>
      <c r="E55" s="35"/>
      <c r="F55" s="35"/>
      <c r="G55" s="35"/>
      <c r="H55" s="35"/>
    </row>
    <row r="56" spans="1:8" x14ac:dyDescent="0.25">
      <c r="A56" s="35" t="s">
        <v>92</v>
      </c>
      <c r="B56" s="35"/>
      <c r="C56" s="35"/>
      <c r="D56" s="35"/>
      <c r="E56" s="35"/>
      <c r="F56" s="35"/>
      <c r="G56" s="35"/>
      <c r="H56" s="35"/>
    </row>
    <row r="57" spans="1:8" x14ac:dyDescent="0.25">
      <c r="A57" s="35" t="s">
        <v>93</v>
      </c>
      <c r="B57" s="35"/>
      <c r="C57" s="35"/>
      <c r="D57" s="35"/>
      <c r="E57" s="35"/>
      <c r="F57" s="35"/>
      <c r="G57" s="35"/>
      <c r="H57" s="35"/>
    </row>
    <row r="58" spans="1:8" x14ac:dyDescent="0.25">
      <c r="A58" s="35" t="s">
        <v>94</v>
      </c>
      <c r="B58" s="35"/>
      <c r="C58" s="35"/>
      <c r="D58" s="35"/>
      <c r="E58" s="35"/>
      <c r="F58" s="35"/>
      <c r="G58" s="35"/>
      <c r="H58" s="35"/>
    </row>
    <row r="59" spans="1:8" x14ac:dyDescent="0.25">
      <c r="A59" s="35" t="s">
        <v>95</v>
      </c>
      <c r="B59" s="35"/>
      <c r="C59" s="35"/>
      <c r="D59" s="35"/>
      <c r="E59" s="35"/>
      <c r="F59" s="35"/>
      <c r="G59" s="35"/>
      <c r="H59" s="35"/>
    </row>
    <row r="62" spans="1:8" x14ac:dyDescent="0.25">
      <c r="A62" s="36" t="s">
        <v>96</v>
      </c>
      <c r="B62" s="36"/>
      <c r="C62" s="36"/>
      <c r="D62" s="36"/>
      <c r="E62" s="36" t="s">
        <v>97</v>
      </c>
      <c r="F62" s="36"/>
      <c r="G62" s="36"/>
      <c r="H62" s="36"/>
    </row>
    <row r="63" spans="1:8" x14ac:dyDescent="0.25">
      <c r="A63" s="37" t="s">
        <v>98</v>
      </c>
      <c r="B63" s="37"/>
      <c r="C63" s="37"/>
      <c r="D63" s="37"/>
      <c r="E63" s="37" t="s">
        <v>98</v>
      </c>
      <c r="F63" s="37"/>
      <c r="G63" s="37"/>
      <c r="H63" s="37"/>
    </row>
  </sheetData>
  <mergeCells count="31">
    <mergeCell ref="A1:H1"/>
    <mergeCell ref="A2:H2"/>
    <mergeCell ref="A3:H3"/>
    <mergeCell ref="A5:H5"/>
    <mergeCell ref="A12:H12"/>
    <mergeCell ref="A21:H21"/>
    <mergeCell ref="A29:H29"/>
    <mergeCell ref="B30:F30"/>
    <mergeCell ref="B31:F31"/>
    <mergeCell ref="B32:F32"/>
    <mergeCell ref="B33:F33"/>
    <mergeCell ref="B34:F34"/>
    <mergeCell ref="A36:H36"/>
    <mergeCell ref="A44:H44"/>
    <mergeCell ref="B45:D45"/>
    <mergeCell ref="B46:D46"/>
    <mergeCell ref="B47:D47"/>
    <mergeCell ref="B48:D48"/>
    <mergeCell ref="A51:H51"/>
    <mergeCell ref="A52:H52"/>
    <mergeCell ref="A53:H53"/>
    <mergeCell ref="A54:H54"/>
    <mergeCell ref="A55:H55"/>
    <mergeCell ref="A56:H56"/>
    <mergeCell ref="A57:H57"/>
    <mergeCell ref="A58:H58"/>
    <mergeCell ref="A59:H59"/>
    <mergeCell ref="A62:D62"/>
    <mergeCell ref="E62:H62"/>
    <mergeCell ref="A63:D63"/>
    <mergeCell ref="E63:H63"/>
  </mergeCells>
  <pageMargins left="0.7" right="0.7" top="0.75" bottom="0.75" header="0.3" footer="0.3"/>
  <pageSetup paperSize="9"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Dự toán chi phí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CIC</dc:creator>
  <dc:title/>
  <dc:subject/>
  <dc:description/>
  <cp:keywords/>
  <cp:category/>
  <cp:lastModifiedBy>Unknown</cp:lastModifiedBy>
  <dcterms:created xsi:type="dcterms:W3CDTF">2026-03-05T02:20:45Z</dcterms:created>
  <dcterms:modified xsi:type="dcterms:W3CDTF">2026-03-05T02:20:45Z</dcterms:modified>
</cp:coreProperties>
</file>